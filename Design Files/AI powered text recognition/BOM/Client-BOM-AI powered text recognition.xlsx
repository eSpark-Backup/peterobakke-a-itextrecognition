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peterobakke-AItextrecognition\Design Files\AI powered text recognition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44" i="1" l="1"/>
  <c r="B43" i="1"/>
  <c r="B42" i="1" l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<sst xmlns="http://schemas.openxmlformats.org/spreadsheetml/2006/main" count="306" uniqueCount="211">
  <si>
    <t>#</t>
  </si>
  <si>
    <t>Item Type</t>
  </si>
  <si>
    <t>Capacitor</t>
  </si>
  <si>
    <t>Capacitors</t>
  </si>
  <si>
    <t>Diode</t>
  </si>
  <si>
    <t>Inductors</t>
  </si>
  <si>
    <t>Inductor</t>
  </si>
  <si>
    <t>MOSFETs</t>
  </si>
  <si>
    <t>Resistor</t>
  </si>
  <si>
    <t>Thermistors</t>
  </si>
  <si>
    <t>Tactile Switches</t>
  </si>
  <si>
    <t>Tactile Switch</t>
  </si>
  <si>
    <t>IC</t>
  </si>
  <si>
    <t>RGB LED</t>
  </si>
  <si>
    <t>Crystal</t>
  </si>
  <si>
    <t>Designator</t>
  </si>
  <si>
    <t>ANT1</t>
  </si>
  <si>
    <t>C1, C3, C7, C11, C14, C15, C23, C27</t>
  </si>
  <si>
    <t>C2, C4, C47</t>
  </si>
  <si>
    <t>C5, C8, C12, C16, C17, C20, C21, C22, C24, C30, C31, C32, C33, C35, C48</t>
  </si>
  <si>
    <t>C6, C25</t>
  </si>
  <si>
    <t>C9, C10</t>
  </si>
  <si>
    <t>C13</t>
  </si>
  <si>
    <t>C18</t>
  </si>
  <si>
    <t>C19</t>
  </si>
  <si>
    <t>C26</t>
  </si>
  <si>
    <t>C28, C29</t>
  </si>
  <si>
    <t>C34</t>
  </si>
  <si>
    <t>C45, C46</t>
  </si>
  <si>
    <t>D1</t>
  </si>
  <si>
    <t>J1</t>
  </si>
  <si>
    <t>J2</t>
  </si>
  <si>
    <t>L1</t>
  </si>
  <si>
    <t>L2</t>
  </si>
  <si>
    <t>L4</t>
  </si>
  <si>
    <t>Q4</t>
  </si>
  <si>
    <t>R1</t>
  </si>
  <si>
    <t>R2, R3, R5, R9, R12, R13, R20</t>
  </si>
  <si>
    <t>R4, R8</t>
  </si>
  <si>
    <t>R6</t>
  </si>
  <si>
    <t>R14, R15, R16</t>
  </si>
  <si>
    <t>R19</t>
  </si>
  <si>
    <t>RT1</t>
  </si>
  <si>
    <t>SW1</t>
  </si>
  <si>
    <t>SW3, SW4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</si>
  <si>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</si>
  <si>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</si>
  <si>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</si>
  <si>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</si>
  <si>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</si>
  <si>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</si>
  <si>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</si>
  <si>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</si>
  <si>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</si>
  <si>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</si>
  <si>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X1</t>
  </si>
  <si>
    <t>Description</t>
  </si>
  <si>
    <t>SMD Antennas ROHS</t>
  </si>
  <si>
    <t>CAP CER 2.2UF 10V X5R 0201</t>
  </si>
  <si>
    <t>CAP CER 10UF 10V X5R 0402</t>
  </si>
  <si>
    <t>CAP CER 0.1UF 25V X6S 0201</t>
  </si>
  <si>
    <t>CAP CER 1UF 16V X5R 0201</t>
  </si>
  <si>
    <t>CAP CER 10PF 25V C0G 0201</t>
  </si>
  <si>
    <t>CAP CER 10000PF 25V X7R 0201</t>
  </si>
  <si>
    <t>CAP CER 2.7PF 50V C0G/NPO 0201</t>
  </si>
  <si>
    <t>CAP CER 4.7PF 50V C0G/NPO 0201</t>
  </si>
  <si>
    <t>CAP CER 15PF 50V C0G/NPO 0402</t>
  </si>
  <si>
    <t>CAP CER 0.68UF 10V X5R 0402</t>
  </si>
  <si>
    <t>CAP CER 15PF 50V C0G/NPO 0201</t>
  </si>
  <si>
    <t>CAP CER 4.7UF 16V X5R 0402</t>
  </si>
  <si>
    <t>40V Independent Type 1A 600mV SOD-882 Schottky Diodes ROHS</t>
  </si>
  <si>
    <t>Pogo Pad 2.5mm 6 Pin</t>
  </si>
  <si>
    <t>CONN FPC/FFC 24POS .5MM</t>
  </si>
  <si>
    <t>FIXED IND 2.2NH 450MA 250MOHM SM</t>
  </si>
  <si>
    <t>FIXED IND 1.6NH 1A 50 MOHM SMD</t>
  </si>
  <si>
    <t>1.55A 4.7uH ±20% SMD Power Inductors ROHS</t>
  </si>
  <si>
    <t>MOSFET N-CH 20V 1A DFN1006-3</t>
  </si>
  <si>
    <t>RES 4.7K OHM 1% 1/20W 0201</t>
  </si>
  <si>
    <t>RES SMD 10K OHM 1% 1/20W 0201</t>
  </si>
  <si>
    <t>RES SMD 0 OHM JUMPER 1/20W 0201</t>
  </si>
  <si>
    <t>RES 100 OHM Thick Film 0201 1% 1/20W ±200ppm/°C Molded SMD SMD Paper T/R</t>
  </si>
  <si>
    <t>RES 0 OHM JUMPER 1/10W 0603</t>
  </si>
  <si>
    <t>RES 10K OHM 1% 1/16W 0402</t>
  </si>
  <si>
    <t>THERMISTOR NTC 10KOHM 3380K 0402</t>
  </si>
  <si>
    <t>SWITCH TACTILE SPST-NO 0.05A 12V</t>
  </si>
  <si>
    <t>IC REG LINEAR 3.3V 1A 8DFN</t>
  </si>
  <si>
    <t>SMD IC ESP32-S3R8, DUAL-CORE MCU</t>
  </si>
  <si>
    <t>500Ma Usb Compatible Single Cell Li-Ion Linear Charger With Float Voltage Of 4.2V / Reel</t>
  </si>
  <si>
    <t>IC FLASH 16MBIT SPI/QUAD 8USON</t>
  </si>
  <si>
    <t>IC REG LINEAR 2.8V 150MA 6-WSON</t>
  </si>
  <si>
    <t>IC REG LIN 1.2V 150MA USPQ-4B04</t>
  </si>
  <si>
    <t>IC PB ON/OFF CONTROLLER TSOT23-8</t>
  </si>
  <si>
    <t>IC REG BOOST 5V 200MA SC70-6</t>
  </si>
  <si>
    <t>Colorless transparence -40℃~+150℃ 正贴 RGB 120° 1010 Light Emitting Diodes (LED) ROHS</t>
  </si>
  <si>
    <t>IC BUF NON-INVERT 5.5V SOT23-5</t>
  </si>
  <si>
    <t>40MHz SMD Crystal Resonator 15pF SMD3225-4P Crystals ROHS</t>
  </si>
  <si>
    <t>Footprint</t>
  </si>
  <si>
    <t>AN6520-245</t>
  </si>
  <si>
    <t>CAP-0201</t>
  </si>
  <si>
    <t>Cap-0402</t>
  </si>
  <si>
    <t>Cap-0201</t>
  </si>
  <si>
    <t>SOD-882</t>
  </si>
  <si>
    <t>POGO 6 Pin</t>
  </si>
  <si>
    <t>FH34SRJ-24S-0.5SH(50)</t>
  </si>
  <si>
    <t>IND-0201</t>
  </si>
  <si>
    <t>SLO252012F4R7MTT</t>
  </si>
  <si>
    <t>DFN1006-3</t>
  </si>
  <si>
    <t>Res-0201</t>
  </si>
  <si>
    <t>Res-0603</t>
  </si>
  <si>
    <t>Res-0402</t>
  </si>
  <si>
    <t>SKTAAAE010</t>
  </si>
  <si>
    <t>DFN-8(1.2x1.6)</t>
  </si>
  <si>
    <t>56-QFN (7x7)</t>
  </si>
  <si>
    <t>DFN-6-EP(2x2)</t>
  </si>
  <si>
    <t>USON-8(2x3)</t>
  </si>
  <si>
    <t>6-WSON (2x2)</t>
  </si>
  <si>
    <t>USPQ-4B04(1x1)</t>
  </si>
  <si>
    <t>TSOT-23-8</t>
  </si>
  <si>
    <t>SC-70-6</t>
  </si>
  <si>
    <t>XL-1010RGBC-WS2812B</t>
  </si>
  <si>
    <t>SOT-23-5</t>
  </si>
  <si>
    <t>Manufacturer Part Number</t>
  </si>
  <si>
    <t>CC0201MRX5R6BB225</t>
  </si>
  <si>
    <t>CC0402MRX5R6BB106</t>
  </si>
  <si>
    <t>GRM033C81E104KE14D</t>
  </si>
  <si>
    <t>CC0201MRX5R7BB105</t>
  </si>
  <si>
    <t>CGA1A2C0G1E100D030BA</t>
  </si>
  <si>
    <t>GRM033R71E103KE14D</t>
  </si>
  <si>
    <t>CC0201CRNPO9BN2R7</t>
  </si>
  <si>
    <t>CC0201BRNPO9BN4R7</t>
  </si>
  <si>
    <t>CQ0402GRNPO9BN150</t>
  </si>
  <si>
    <t>CC0402KRX5R6BB684</t>
  </si>
  <si>
    <t>CC0201JRNPO9BN150</t>
  </si>
  <si>
    <t>CL05A475MO5NUNC</t>
  </si>
  <si>
    <t>LMBR4010BST5G</t>
  </si>
  <si>
    <t>LQP03TG2N2B02D</t>
  </si>
  <si>
    <t>LQP03HQ1N6B02D</t>
  </si>
  <si>
    <t>RV2C010UNT2L</t>
  </si>
  <si>
    <t>RC0201FR-074K7L</t>
  </si>
  <si>
    <t>RC0201FR-0710KL</t>
  </si>
  <si>
    <t>RC0201JR-070RL</t>
  </si>
  <si>
    <t>RC0201FR-07100RL</t>
  </si>
  <si>
    <t>RC0603JR-070RL</t>
  </si>
  <si>
    <t>RC0402FR-0710KL</t>
  </si>
  <si>
    <t>NCP15XH103F03RC</t>
  </si>
  <si>
    <t>EVQ-P7A01P</t>
  </si>
  <si>
    <t>LD56100DPU33R</t>
  </si>
  <si>
    <t>ESP32-S3R8</t>
  </si>
  <si>
    <t>FAN54120MP420X</t>
  </si>
  <si>
    <t>GD25Q16EEIGR</t>
  </si>
  <si>
    <t>TPS78228DRVR</t>
  </si>
  <si>
    <t>XC6504A1219R-G</t>
  </si>
  <si>
    <t>LTC2950CTS8-2#TRPBF</t>
  </si>
  <si>
    <t>TPS61222DCKR</t>
  </si>
  <si>
    <t>SN74LV1T34DBVR</t>
  </si>
  <si>
    <t>X322540MPB4SI</t>
  </si>
  <si>
    <t>Manufacturer</t>
  </si>
  <si>
    <t>Rainsun microwave Tech</t>
  </si>
  <si>
    <t>Yageo</t>
  </si>
  <si>
    <t>Murata</t>
  </si>
  <si>
    <t>TDK</t>
  </si>
  <si>
    <t>Samsung</t>
  </si>
  <si>
    <t>LRC</t>
  </si>
  <si>
    <t>Hirose</t>
  </si>
  <si>
    <t>Sunltech Tech</t>
  </si>
  <si>
    <t>Rohm</t>
  </si>
  <si>
    <t>Alps Electric</t>
  </si>
  <si>
    <t>Panasonic</t>
  </si>
  <si>
    <t>STMicroelectronics</t>
  </si>
  <si>
    <t>Espressif Systems</t>
  </si>
  <si>
    <t>ON Semiconductor</t>
  </si>
  <si>
    <t>GigaDevice</t>
  </si>
  <si>
    <t>Texas Instruments</t>
  </si>
  <si>
    <t>Torex</t>
  </si>
  <si>
    <t>Analog Devices / Linear Technology</t>
  </si>
  <si>
    <t>XINGLIGHT</t>
  </si>
  <si>
    <t>Yangxing Tech</t>
  </si>
  <si>
    <t>2.2uF</t>
  </si>
  <si>
    <t>10uF</t>
  </si>
  <si>
    <t>0.1uF</t>
  </si>
  <si>
    <t>1uF</t>
  </si>
  <si>
    <t>10pF</t>
  </si>
  <si>
    <t>10nF</t>
  </si>
  <si>
    <t>2.7pF</t>
  </si>
  <si>
    <t>4.7pF</t>
  </si>
  <si>
    <t>15pF</t>
  </si>
  <si>
    <t>680nF</t>
  </si>
  <si>
    <t>4.7uF</t>
  </si>
  <si>
    <t>2.2nH</t>
  </si>
  <si>
    <t>1.6nH</t>
  </si>
  <si>
    <t>4.7uH</t>
  </si>
  <si>
    <t>4.7K</t>
  </si>
  <si>
    <t>10K</t>
  </si>
  <si>
    <t>0R</t>
  </si>
  <si>
    <t>100R</t>
  </si>
  <si>
    <t>40MHz</t>
  </si>
  <si>
    <t>Quantity</t>
  </si>
  <si>
    <t>Value</t>
  </si>
  <si>
    <t>Remarks</t>
  </si>
  <si>
    <t>-</t>
  </si>
  <si>
    <t>Custom</t>
  </si>
  <si>
    <t>POGO PADs</t>
  </si>
  <si>
    <t>FPC Connector</t>
  </si>
  <si>
    <t>Peripheral</t>
  </si>
  <si>
    <t>Color: OV2640 mini</t>
  </si>
  <si>
    <t>Camera</t>
  </si>
  <si>
    <t>OV2640 Mini Camera Module CMOS Image Sensor 2 Million Pixel Wide Angle Camera Monitor Identification</t>
  </si>
  <si>
    <t>Color: OV2640 mini select this part.</t>
  </si>
  <si>
    <t>3W Mini Qi Wireless Charger Module</t>
  </si>
  <si>
    <t xml:space="preserve">3W Mini Qi Wireless Charger Module Receiver PCBA Circuit Coil Board Universal Battery Charging for Samsung Huawei Xiaomi
</t>
  </si>
  <si>
    <t>Wireless 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</si>
</sst>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trike/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7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vi.aliexpress.com/item/1005005898137255.html?spm=a2g0o.detail.pcDetailTopMoreOtherSeller.4.6ccchyJ3hyJ3EW&amp;gps-id=pcDetailTopMoreOtherSeller&amp;scm=1007.40050.354490.0&amp;scm_id=1007.40050.354490.0&amp;scm-url=1007.40050.354490.0&amp;pvid=e1bfb27b-0bf8-43a1-b403" TargetMode="External"/><Relationship Id="rId1" Type="http://schemas.openxmlformats.org/officeDocument/2006/relationships/hyperlink" Target="https://vi.aliexpress.com/item/4001183891940.html?spm=a2g0o.productlist.main.15.30315addGOhk2D&amp;algo_pvid=d0b0b3b8-6527-4c7f-b0c9-50cf0e267a3c&amp;algo_exp_id=d0b0b3b8-6527-4c7f-b0c9-50cf0e267a3c-14&amp;pdp_ext_f=%7B%22order%22%3A%2223%22%2C%22eval%22%3A%221%22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44"/>
  <sheetViews>
    <sheetView tabSelected="1" topLeftCell="A25" workbookViewId="0">
      <selection activeCell="K18" sqref="K18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12.7109375" bestFit="1" customWidth="1"/>
    <col min="7" max="7" width="25.285156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29.425781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15</v>
      </c>
      <c r="E2" s="6" t="s">
        <v>56</v>
      </c>
      <c r="F2" s="5" t="s">
        <v>96</v>
      </c>
      <c r="G2" s="6" t="s">
        <v>121</v>
      </c>
      <c r="H2" s="5" t="s">
        <v>156</v>
      </c>
      <c r="I2" s="6" t="s">
        <v>197</v>
      </c>
      <c r="J2" s="5" t="s">
        <v>196</v>
      </c>
      <c r="K2" s="5" t="s">
        <v>198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16</v>
      </c>
      <c r="E3" s="8" t="s">
        <v>57</v>
      </c>
      <c r="F3" s="7" t="s">
        <v>97</v>
      </c>
      <c r="G3" s="8" t="s">
        <v>97</v>
      </c>
      <c r="H3" s="7" t="s">
        <v>157</v>
      </c>
      <c r="I3" s="8" t="s">
        <v>199</v>
      </c>
      <c r="J3" s="7">
        <v>1</v>
      </c>
      <c r="K3" s="7"/>
    </row>
    <row r="4" spans="1:11" ht="15.75" thickBot="1" x14ac:dyDescent="0.3">
      <c r="A4" s="1"/>
      <c r="B4" s="11">
        <f t="shared" ref="B4:B44" si="0">ROW(B4) - ROW($B$2)</f>
        <v>2</v>
      </c>
      <c r="C4" s="13" t="s">
        <v>2</v>
      </c>
      <c r="D4" s="9" t="s">
        <v>17</v>
      </c>
      <c r="E4" s="10" t="s">
        <v>58</v>
      </c>
      <c r="F4" s="9" t="s">
        <v>98</v>
      </c>
      <c r="G4" s="10" t="s">
        <v>122</v>
      </c>
      <c r="H4" s="9" t="s">
        <v>158</v>
      </c>
      <c r="I4" s="10" t="s">
        <v>177</v>
      </c>
      <c r="J4" s="9">
        <v>8</v>
      </c>
      <c r="K4" s="9"/>
    </row>
    <row r="5" spans="1:11" ht="15.75" thickBot="1" x14ac:dyDescent="0.3">
      <c r="A5" s="1"/>
      <c r="B5" s="11">
        <f>ROW(B5) - ROW($B$2)</f>
        <v>3</v>
      </c>
      <c r="C5" s="12" t="s">
        <v>2</v>
      </c>
      <c r="D5" s="7" t="s">
        <v>18</v>
      </c>
      <c r="E5" s="8" t="s">
        <v>59</v>
      </c>
      <c r="F5" s="7" t="s">
        <v>99</v>
      </c>
      <c r="G5" s="8" t="s">
        <v>123</v>
      </c>
      <c r="H5" s="7" t="s">
        <v>158</v>
      </c>
      <c r="I5" s="8" t="s">
        <v>178</v>
      </c>
      <c r="J5" s="7">
        <v>3</v>
      </c>
      <c r="K5" s="7"/>
    </row>
    <row r="6" spans="1:11" ht="24.75" thickBot="1" x14ac:dyDescent="0.3">
      <c r="A6" s="1"/>
      <c r="B6" s="11">
        <f t="shared" si="0"/>
        <v>4</v>
      </c>
      <c r="C6" s="12" t="s">
        <v>2</v>
      </c>
      <c r="D6" s="9" t="s">
        <v>19</v>
      </c>
      <c r="E6" s="10" t="s">
        <v>60</v>
      </c>
      <c r="F6" s="9" t="s">
        <v>98</v>
      </c>
      <c r="G6" s="10" t="s">
        <v>124</v>
      </c>
      <c r="H6" s="9" t="s">
        <v>159</v>
      </c>
      <c r="I6" s="10" t="s">
        <v>179</v>
      </c>
      <c r="J6" s="9">
        <v>15</v>
      </c>
      <c r="K6" s="9"/>
    </row>
    <row r="7" spans="1:11" ht="15.75" thickBot="1" x14ac:dyDescent="0.3">
      <c r="A7" s="1"/>
      <c r="B7" s="11">
        <f>ROW(B7) - ROW($B$2)</f>
        <v>5</v>
      </c>
      <c r="C7" s="12" t="s">
        <v>2</v>
      </c>
      <c r="D7" s="7" t="s">
        <v>20</v>
      </c>
      <c r="E7" s="8" t="s">
        <v>61</v>
      </c>
      <c r="F7" s="7" t="s">
        <v>98</v>
      </c>
      <c r="G7" s="8" t="s">
        <v>125</v>
      </c>
      <c r="H7" s="7" t="s">
        <v>158</v>
      </c>
      <c r="I7" s="8" t="s">
        <v>180</v>
      </c>
      <c r="J7" s="7">
        <v>2</v>
      </c>
      <c r="K7" s="7"/>
    </row>
    <row r="8" spans="1:11" ht="15.75" thickBot="1" x14ac:dyDescent="0.3">
      <c r="A8" s="1"/>
      <c r="B8" s="11">
        <f t="shared" si="0"/>
        <v>6</v>
      </c>
      <c r="C8" s="13" t="s">
        <v>2</v>
      </c>
      <c r="D8" s="9" t="s">
        <v>21</v>
      </c>
      <c r="E8" s="10" t="s">
        <v>62</v>
      </c>
      <c r="F8" s="9" t="s">
        <v>98</v>
      </c>
      <c r="G8" s="10" t="s">
        <v>126</v>
      </c>
      <c r="H8" s="9" t="s">
        <v>160</v>
      </c>
      <c r="I8" s="10" t="s">
        <v>181</v>
      </c>
      <c r="J8" s="9">
        <v>2</v>
      </c>
      <c r="K8" s="9"/>
    </row>
    <row r="9" spans="1:11" ht="15.75" thickBot="1" x14ac:dyDescent="0.3">
      <c r="A9" s="1"/>
      <c r="B9" s="11">
        <f>ROW(B9) - ROW($B$2)</f>
        <v>7</v>
      </c>
      <c r="C9" s="12" t="s">
        <v>2</v>
      </c>
      <c r="D9" s="7" t="s">
        <v>22</v>
      </c>
      <c r="E9" s="8" t="s">
        <v>63</v>
      </c>
      <c r="F9" s="7" t="s">
        <v>98</v>
      </c>
      <c r="G9" s="8" t="s">
        <v>127</v>
      </c>
      <c r="H9" s="7" t="s">
        <v>159</v>
      </c>
      <c r="I9" s="8" t="s">
        <v>182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2</v>
      </c>
      <c r="D10" s="9" t="s">
        <v>23</v>
      </c>
      <c r="E10" s="10" t="s">
        <v>64</v>
      </c>
      <c r="F10" s="9" t="s">
        <v>98</v>
      </c>
      <c r="G10" s="10" t="s">
        <v>128</v>
      </c>
      <c r="H10" s="9" t="s">
        <v>158</v>
      </c>
      <c r="I10" s="10" t="s">
        <v>183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2</v>
      </c>
      <c r="D11" s="7" t="s">
        <v>24</v>
      </c>
      <c r="E11" s="8" t="s">
        <v>65</v>
      </c>
      <c r="F11" s="7" t="s">
        <v>98</v>
      </c>
      <c r="G11" s="8" t="s">
        <v>129</v>
      </c>
      <c r="H11" s="7" t="s">
        <v>158</v>
      </c>
      <c r="I11" s="8" t="s">
        <v>184</v>
      </c>
      <c r="J11" s="7">
        <v>1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3</v>
      </c>
      <c r="D12" s="9" t="s">
        <v>25</v>
      </c>
      <c r="E12" s="10" t="s">
        <v>66</v>
      </c>
      <c r="F12" s="9" t="s">
        <v>99</v>
      </c>
      <c r="G12" s="10" t="s">
        <v>130</v>
      </c>
      <c r="H12" s="9" t="s">
        <v>158</v>
      </c>
      <c r="I12" s="10" t="s">
        <v>185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2</v>
      </c>
      <c r="D13" s="7" t="s">
        <v>26</v>
      </c>
      <c r="E13" s="8" t="s">
        <v>67</v>
      </c>
      <c r="F13" s="7" t="s">
        <v>99</v>
      </c>
      <c r="G13" s="8" t="s">
        <v>131</v>
      </c>
      <c r="H13" s="7" t="s">
        <v>158</v>
      </c>
      <c r="I13" s="8" t="s">
        <v>186</v>
      </c>
      <c r="J13" s="7">
        <v>2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2</v>
      </c>
      <c r="D14" s="9" t="s">
        <v>27</v>
      </c>
      <c r="E14" s="10" t="s">
        <v>68</v>
      </c>
      <c r="F14" s="9" t="s">
        <v>100</v>
      </c>
      <c r="G14" s="10" t="s">
        <v>132</v>
      </c>
      <c r="H14" s="9" t="s">
        <v>158</v>
      </c>
      <c r="I14" s="10" t="s">
        <v>185</v>
      </c>
      <c r="J14" s="9">
        <v>1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2</v>
      </c>
      <c r="D15" s="7" t="s">
        <v>28</v>
      </c>
      <c r="E15" s="8" t="s">
        <v>69</v>
      </c>
      <c r="F15" s="7" t="s">
        <v>99</v>
      </c>
      <c r="G15" s="8" t="s">
        <v>133</v>
      </c>
      <c r="H15" s="7" t="s">
        <v>161</v>
      </c>
      <c r="I15" s="8" t="s">
        <v>187</v>
      </c>
      <c r="J15" s="7">
        <v>2</v>
      </c>
      <c r="K15" s="7"/>
    </row>
    <row r="16" spans="1:11" ht="24.75" thickBot="1" x14ac:dyDescent="0.3">
      <c r="A16" s="1"/>
      <c r="B16" s="11">
        <f t="shared" si="0"/>
        <v>14</v>
      </c>
      <c r="C16" s="13" t="s">
        <v>4</v>
      </c>
      <c r="D16" s="9" t="s">
        <v>29</v>
      </c>
      <c r="E16" s="10" t="s">
        <v>70</v>
      </c>
      <c r="F16" s="9" t="s">
        <v>101</v>
      </c>
      <c r="G16" s="10" t="s">
        <v>134</v>
      </c>
      <c r="H16" s="9" t="s">
        <v>162</v>
      </c>
      <c r="I16" s="10" t="s">
        <v>199</v>
      </c>
      <c r="J16" s="9">
        <v>1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201</v>
      </c>
      <c r="D17" s="15" t="s">
        <v>30</v>
      </c>
      <c r="E17" s="16" t="s">
        <v>71</v>
      </c>
      <c r="F17" s="15" t="s">
        <v>200</v>
      </c>
      <c r="G17" s="15" t="s">
        <v>102</v>
      </c>
      <c r="H17" s="15" t="s">
        <v>199</v>
      </c>
      <c r="I17" s="16" t="s">
        <v>199</v>
      </c>
      <c r="J17" s="15">
        <v>1</v>
      </c>
      <c r="K17" s="15"/>
    </row>
    <row r="18" spans="1:11" ht="15.75" thickBot="1" x14ac:dyDescent="0.3">
      <c r="A18" s="1"/>
      <c r="B18" s="11">
        <f t="shared" si="0"/>
        <v>16</v>
      </c>
      <c r="C18" s="13" t="s">
        <v>202</v>
      </c>
      <c r="D18" s="9" t="s">
        <v>31</v>
      </c>
      <c r="E18" s="10" t="s">
        <v>72</v>
      </c>
      <c r="F18" s="9" t="s">
        <v>200</v>
      </c>
      <c r="G18" s="10" t="s">
        <v>103</v>
      </c>
      <c r="H18" s="9" t="s">
        <v>163</v>
      </c>
      <c r="I18" s="10" t="s">
        <v>199</v>
      </c>
      <c r="J18" s="9">
        <v>1</v>
      </c>
      <c r="K18" s="9"/>
    </row>
    <row r="19" spans="1:11" ht="24.75" thickBot="1" x14ac:dyDescent="0.3">
      <c r="A19" s="1"/>
      <c r="B19" s="11">
        <f>ROW(B19) - ROW($B$2)</f>
        <v>17</v>
      </c>
      <c r="C19" s="12" t="s">
        <v>5</v>
      </c>
      <c r="D19" s="7" t="s">
        <v>32</v>
      </c>
      <c r="E19" s="8" t="s">
        <v>73</v>
      </c>
      <c r="F19" s="7" t="s">
        <v>104</v>
      </c>
      <c r="G19" s="8" t="s">
        <v>135</v>
      </c>
      <c r="H19" s="7" t="s">
        <v>159</v>
      </c>
      <c r="I19" s="8" t="s">
        <v>188</v>
      </c>
      <c r="J19" s="7">
        <v>1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6</v>
      </c>
      <c r="D20" s="9" t="s">
        <v>33</v>
      </c>
      <c r="E20" s="10" t="s">
        <v>74</v>
      </c>
      <c r="F20" s="9" t="s">
        <v>104</v>
      </c>
      <c r="G20" s="10" t="s">
        <v>136</v>
      </c>
      <c r="H20" s="9" t="s">
        <v>159</v>
      </c>
      <c r="I20" s="10" t="s">
        <v>189</v>
      </c>
      <c r="J20" s="9">
        <v>1</v>
      </c>
      <c r="K20" s="9"/>
    </row>
    <row r="21" spans="1:11" ht="24.75" thickBot="1" x14ac:dyDescent="0.3">
      <c r="A21" s="1"/>
      <c r="B21" s="11">
        <f>ROW(B21) - ROW($B$2)</f>
        <v>19</v>
      </c>
      <c r="C21" s="12" t="s">
        <v>6</v>
      </c>
      <c r="D21" s="7" t="s">
        <v>34</v>
      </c>
      <c r="E21" s="8" t="s">
        <v>75</v>
      </c>
      <c r="F21" s="9" t="s">
        <v>200</v>
      </c>
      <c r="G21" s="8" t="s">
        <v>105</v>
      </c>
      <c r="H21" s="7" t="s">
        <v>164</v>
      </c>
      <c r="I21" s="8" t="s">
        <v>190</v>
      </c>
      <c r="J21" s="7">
        <v>1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7</v>
      </c>
      <c r="D22" s="9" t="s">
        <v>35</v>
      </c>
      <c r="E22" s="10" t="s">
        <v>76</v>
      </c>
      <c r="F22" s="9" t="s">
        <v>106</v>
      </c>
      <c r="G22" s="10" t="s">
        <v>137</v>
      </c>
      <c r="H22" s="9" t="s">
        <v>165</v>
      </c>
      <c r="I22" s="10" t="s">
        <v>199</v>
      </c>
      <c r="J22" s="9">
        <v>1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8</v>
      </c>
      <c r="D23" s="7" t="s">
        <v>36</v>
      </c>
      <c r="E23" s="8" t="s">
        <v>77</v>
      </c>
      <c r="F23" s="7" t="s">
        <v>107</v>
      </c>
      <c r="G23" s="8" t="s">
        <v>138</v>
      </c>
      <c r="H23" s="7" t="s">
        <v>158</v>
      </c>
      <c r="I23" s="8" t="s">
        <v>191</v>
      </c>
      <c r="J23" s="7">
        <v>1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8</v>
      </c>
      <c r="D24" s="9" t="s">
        <v>37</v>
      </c>
      <c r="E24" s="10" t="s">
        <v>78</v>
      </c>
      <c r="F24" s="9" t="s">
        <v>107</v>
      </c>
      <c r="G24" s="10" t="s">
        <v>139</v>
      </c>
      <c r="H24" s="9" t="s">
        <v>158</v>
      </c>
      <c r="I24" s="10" t="s">
        <v>192</v>
      </c>
      <c r="J24" s="9">
        <v>7</v>
      </c>
      <c r="K24" s="9"/>
    </row>
    <row r="25" spans="1:11" ht="15.75" thickBot="1" x14ac:dyDescent="0.3">
      <c r="A25" s="1"/>
      <c r="B25" s="11">
        <f>ROW(B25) - ROW($B$2)</f>
        <v>23</v>
      </c>
      <c r="C25" s="13" t="s">
        <v>8</v>
      </c>
      <c r="D25" s="7" t="s">
        <v>38</v>
      </c>
      <c r="E25" s="8" t="s">
        <v>79</v>
      </c>
      <c r="F25" s="7" t="s">
        <v>107</v>
      </c>
      <c r="G25" s="8" t="s">
        <v>140</v>
      </c>
      <c r="H25" s="7" t="s">
        <v>158</v>
      </c>
      <c r="I25" s="8" t="s">
        <v>193</v>
      </c>
      <c r="J25" s="7">
        <v>2</v>
      </c>
      <c r="K25" s="7"/>
    </row>
    <row r="26" spans="1:11" ht="36.75" thickBot="1" x14ac:dyDescent="0.3">
      <c r="A26" s="1"/>
      <c r="B26" s="11">
        <f t="shared" si="0"/>
        <v>24</v>
      </c>
      <c r="C26" s="13" t="s">
        <v>8</v>
      </c>
      <c r="D26" s="9" t="s">
        <v>39</v>
      </c>
      <c r="E26" s="10" t="s">
        <v>80</v>
      </c>
      <c r="F26" s="9" t="s">
        <v>107</v>
      </c>
      <c r="G26" s="10" t="s">
        <v>141</v>
      </c>
      <c r="H26" s="9" t="s">
        <v>158</v>
      </c>
      <c r="I26" s="10" t="s">
        <v>194</v>
      </c>
      <c r="J26" s="9">
        <v>1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8</v>
      </c>
      <c r="D27" s="7" t="s">
        <v>40</v>
      </c>
      <c r="E27" s="8" t="s">
        <v>81</v>
      </c>
      <c r="F27" s="7" t="s">
        <v>108</v>
      </c>
      <c r="G27" s="8" t="s">
        <v>142</v>
      </c>
      <c r="H27" s="7" t="s">
        <v>158</v>
      </c>
      <c r="I27" s="8" t="s">
        <v>193</v>
      </c>
      <c r="J27" s="7">
        <v>3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8</v>
      </c>
      <c r="D28" s="9" t="s">
        <v>41</v>
      </c>
      <c r="E28" s="10" t="s">
        <v>82</v>
      </c>
      <c r="F28" s="9" t="s">
        <v>109</v>
      </c>
      <c r="G28" s="10" t="s">
        <v>143</v>
      </c>
      <c r="H28" s="9" t="s">
        <v>158</v>
      </c>
      <c r="I28" s="10" t="s">
        <v>192</v>
      </c>
      <c r="J28" s="9">
        <v>1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9</v>
      </c>
      <c r="D29" s="7" t="s">
        <v>42</v>
      </c>
      <c r="E29" s="8" t="s">
        <v>83</v>
      </c>
      <c r="F29" s="7" t="s">
        <v>109</v>
      </c>
      <c r="G29" s="8" t="s">
        <v>144</v>
      </c>
      <c r="H29" s="7" t="s">
        <v>159</v>
      </c>
      <c r="I29" s="8" t="s">
        <v>192</v>
      </c>
      <c r="J29" s="7">
        <v>1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10</v>
      </c>
      <c r="D30" s="9" t="s">
        <v>43</v>
      </c>
      <c r="E30" s="10" t="s">
        <v>84</v>
      </c>
      <c r="F30" s="9" t="s">
        <v>200</v>
      </c>
      <c r="G30" s="10" t="s">
        <v>110</v>
      </c>
      <c r="H30" s="9" t="s">
        <v>166</v>
      </c>
      <c r="I30" s="10" t="s">
        <v>199</v>
      </c>
      <c r="J30" s="9">
        <v>1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11</v>
      </c>
      <c r="D31" s="7" t="s">
        <v>44</v>
      </c>
      <c r="E31" s="8" t="s">
        <v>84</v>
      </c>
      <c r="F31" s="9" t="s">
        <v>200</v>
      </c>
      <c r="G31" s="8" t="s">
        <v>145</v>
      </c>
      <c r="H31" s="7" t="s">
        <v>167</v>
      </c>
      <c r="I31" s="10" t="s">
        <v>199</v>
      </c>
      <c r="J31" s="7">
        <v>2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12</v>
      </c>
      <c r="D32" s="9" t="s">
        <v>45</v>
      </c>
      <c r="E32" s="10" t="s">
        <v>85</v>
      </c>
      <c r="F32" s="9" t="s">
        <v>111</v>
      </c>
      <c r="G32" s="10" t="s">
        <v>146</v>
      </c>
      <c r="H32" s="9" t="s">
        <v>168</v>
      </c>
      <c r="I32" s="10" t="s">
        <v>199</v>
      </c>
      <c r="J32" s="9">
        <v>1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12</v>
      </c>
      <c r="D33" s="7" t="s">
        <v>46</v>
      </c>
      <c r="E33" s="8" t="s">
        <v>86</v>
      </c>
      <c r="F33" s="7" t="s">
        <v>112</v>
      </c>
      <c r="G33" s="8" t="s">
        <v>147</v>
      </c>
      <c r="H33" s="7" t="s">
        <v>169</v>
      </c>
      <c r="I33" s="10" t="s">
        <v>199</v>
      </c>
      <c r="J33" s="7">
        <v>1</v>
      </c>
      <c r="K33" s="7"/>
    </row>
    <row r="34" spans="1:11" ht="36.75" thickBot="1" x14ac:dyDescent="0.3">
      <c r="A34" s="1"/>
      <c r="B34" s="11">
        <f t="shared" si="0"/>
        <v>32</v>
      </c>
      <c r="C34" s="13" t="s">
        <v>12</v>
      </c>
      <c r="D34" s="9" t="s">
        <v>47</v>
      </c>
      <c r="E34" s="10" t="s">
        <v>87</v>
      </c>
      <c r="F34" s="9" t="s">
        <v>113</v>
      </c>
      <c r="G34" s="10" t="s">
        <v>148</v>
      </c>
      <c r="H34" s="9" t="s">
        <v>170</v>
      </c>
      <c r="I34" s="10" t="s">
        <v>199</v>
      </c>
      <c r="J34" s="9">
        <v>1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12</v>
      </c>
      <c r="D35" s="7" t="s">
        <v>48</v>
      </c>
      <c r="E35" s="8" t="s">
        <v>88</v>
      </c>
      <c r="F35" s="7" t="s">
        <v>114</v>
      </c>
      <c r="G35" s="8" t="s">
        <v>149</v>
      </c>
      <c r="H35" s="7" t="s">
        <v>171</v>
      </c>
      <c r="I35" s="10" t="s">
        <v>199</v>
      </c>
      <c r="J35" s="7">
        <v>1</v>
      </c>
      <c r="K35" s="7"/>
    </row>
    <row r="36" spans="1:11" ht="15.75" thickBot="1" x14ac:dyDescent="0.3">
      <c r="A36" s="1"/>
      <c r="B36" s="11">
        <f t="shared" si="0"/>
        <v>34</v>
      </c>
      <c r="C36" s="13" t="s">
        <v>12</v>
      </c>
      <c r="D36" s="9" t="s">
        <v>49</v>
      </c>
      <c r="E36" s="10" t="s">
        <v>89</v>
      </c>
      <c r="F36" s="9" t="s">
        <v>115</v>
      </c>
      <c r="G36" s="10" t="s">
        <v>150</v>
      </c>
      <c r="H36" s="9" t="s">
        <v>172</v>
      </c>
      <c r="I36" s="10" t="s">
        <v>199</v>
      </c>
      <c r="J36" s="9">
        <v>1</v>
      </c>
      <c r="K36" s="9"/>
    </row>
    <row r="37" spans="1:11" ht="15.75" thickBot="1" x14ac:dyDescent="0.3">
      <c r="A37" s="1"/>
      <c r="B37" s="11">
        <f>ROW(B37) - ROW($B$2)</f>
        <v>35</v>
      </c>
      <c r="C37" s="12" t="s">
        <v>12</v>
      </c>
      <c r="D37" s="7" t="s">
        <v>50</v>
      </c>
      <c r="E37" s="8" t="s">
        <v>90</v>
      </c>
      <c r="F37" s="7" t="s">
        <v>116</v>
      </c>
      <c r="G37" s="8" t="s">
        <v>151</v>
      </c>
      <c r="H37" s="7" t="s">
        <v>173</v>
      </c>
      <c r="I37" s="10" t="s">
        <v>199</v>
      </c>
      <c r="J37" s="7">
        <v>1</v>
      </c>
      <c r="K37" s="7"/>
    </row>
    <row r="38" spans="1:11" ht="24.75" thickBot="1" x14ac:dyDescent="0.3">
      <c r="A38" s="1"/>
      <c r="B38" s="11">
        <f t="shared" si="0"/>
        <v>36</v>
      </c>
      <c r="C38" s="13" t="s">
        <v>12</v>
      </c>
      <c r="D38" s="9" t="s">
        <v>51</v>
      </c>
      <c r="E38" s="10" t="s">
        <v>91</v>
      </c>
      <c r="F38" s="9" t="s">
        <v>117</v>
      </c>
      <c r="G38" s="10" t="s">
        <v>152</v>
      </c>
      <c r="H38" s="9" t="s">
        <v>174</v>
      </c>
      <c r="I38" s="10" t="s">
        <v>199</v>
      </c>
      <c r="J38" s="9">
        <v>1</v>
      </c>
      <c r="K38" s="9"/>
    </row>
    <row r="39" spans="1:11" ht="15.75" thickBot="1" x14ac:dyDescent="0.3">
      <c r="A39" s="1"/>
      <c r="B39" s="11">
        <f>ROW(B39) - ROW($B$2)</f>
        <v>37</v>
      </c>
      <c r="C39" s="12" t="s">
        <v>12</v>
      </c>
      <c r="D39" s="7" t="s">
        <v>52</v>
      </c>
      <c r="E39" s="8" t="s">
        <v>92</v>
      </c>
      <c r="F39" s="7" t="s">
        <v>118</v>
      </c>
      <c r="G39" s="8" t="s">
        <v>153</v>
      </c>
      <c r="H39" s="7" t="s">
        <v>172</v>
      </c>
      <c r="I39" s="10" t="s">
        <v>199</v>
      </c>
      <c r="J39" s="7">
        <v>1</v>
      </c>
      <c r="K39" s="7"/>
    </row>
    <row r="40" spans="1:11" ht="36.75" thickBot="1" x14ac:dyDescent="0.3">
      <c r="A40" s="1"/>
      <c r="B40" s="11">
        <f t="shared" si="0"/>
        <v>38</v>
      </c>
      <c r="C40" s="13" t="s">
        <v>13</v>
      </c>
      <c r="D40" s="9" t="s">
        <v>53</v>
      </c>
      <c r="E40" s="10" t="s">
        <v>93</v>
      </c>
      <c r="F40" s="9" t="s">
        <v>200</v>
      </c>
      <c r="G40" s="10" t="s">
        <v>119</v>
      </c>
      <c r="H40" s="9" t="s">
        <v>175</v>
      </c>
      <c r="I40" s="10" t="s">
        <v>199</v>
      </c>
      <c r="J40" s="9">
        <v>1</v>
      </c>
      <c r="K40" s="9"/>
    </row>
    <row r="41" spans="1:11" ht="15.75" thickBot="1" x14ac:dyDescent="0.3">
      <c r="A41" s="1"/>
      <c r="B41" s="11">
        <f>ROW(B41) - ROW($B$2)</f>
        <v>39</v>
      </c>
      <c r="C41" s="12" t="s">
        <v>12</v>
      </c>
      <c r="D41" s="7" t="s">
        <v>54</v>
      </c>
      <c r="E41" s="8" t="s">
        <v>94</v>
      </c>
      <c r="F41" s="7" t="s">
        <v>120</v>
      </c>
      <c r="G41" s="8" t="s">
        <v>154</v>
      </c>
      <c r="H41" s="7" t="s">
        <v>172</v>
      </c>
      <c r="I41" s="10" t="s">
        <v>199</v>
      </c>
      <c r="J41" s="7">
        <v>1</v>
      </c>
      <c r="K41" s="7"/>
    </row>
    <row r="42" spans="1:11" ht="24.75" thickBot="1" x14ac:dyDescent="0.3">
      <c r="A42" s="1"/>
      <c r="B42" s="11">
        <f t="shared" si="0"/>
        <v>40</v>
      </c>
      <c r="C42" s="13" t="s">
        <v>14</v>
      </c>
      <c r="D42" s="9" t="s">
        <v>55</v>
      </c>
      <c r="E42" s="10" t="s">
        <v>95</v>
      </c>
      <c r="F42" s="9" t="s">
        <v>200</v>
      </c>
      <c r="G42" s="10" t="s">
        <v>155</v>
      </c>
      <c r="H42" s="9" t="s">
        <v>176</v>
      </c>
      <c r="I42" s="10" t="s">
        <v>195</v>
      </c>
      <c r="J42" s="9">
        <v>1</v>
      </c>
      <c r="K42" s="9"/>
    </row>
    <row r="43" spans="1:11" ht="48.75" thickBot="1" x14ac:dyDescent="0.3">
      <c r="B43" s="11">
        <f t="shared" si="0"/>
        <v>41</v>
      </c>
      <c r="C43" s="13" t="s">
        <v>203</v>
      </c>
      <c r="D43" s="9" t="s">
        <v>205</v>
      </c>
      <c r="E43" s="10" t="s">
        <v>206</v>
      </c>
      <c r="F43" s="9" t="s">
        <v>200</v>
      </c>
      <c r="G43" s="10" t="s">
        <v>204</v>
      </c>
      <c r="H43" s="9" t="s">
        <v>199</v>
      </c>
      <c r="I43" s="10" t="s">
        <v>199</v>
      </c>
      <c r="J43" s="9">
        <v>1</v>
      </c>
      <c r="K43" s="17" t="s">
        <v>207</v>
      </c>
    </row>
    <row r="44" spans="1:11" ht="60.75" thickBot="1" x14ac:dyDescent="0.3">
      <c r="B44" s="11">
        <f t="shared" si="0"/>
        <v>42</v>
      </c>
      <c r="C44" s="13" t="s">
        <v>203</v>
      </c>
      <c r="D44" s="9" t="s">
        <v>210</v>
      </c>
      <c r="E44" s="10" t="s">
        <v>209</v>
      </c>
      <c r="F44" s="9" t="s">
        <v>200</v>
      </c>
      <c r="G44" s="10" t="s">
        <v>199</v>
      </c>
      <c r="H44" s="9" t="s">
        <v>199</v>
      </c>
      <c r="I44" s="10" t="s">
        <v>199</v>
      </c>
      <c r="J44" s="9">
        <v>1</v>
      </c>
      <c r="K44" s="17" t="s">
        <v>208</v>
      </c>
    </row>
  </sheetData>
  <mergeCells count="1">
    <mergeCell ref="I1:K1"/>
  </mergeCells>
  <hyperlinks>
    <hyperlink ref="K43" r:id="rId1"/>
    <hyperlink ref="K44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2025-07-25T11:56:29Z</dcterms:modified>
</cp:coreProperties>
</file>